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b451e2e0cf7af2/Desktop/Hoichoi Projects/Drop off Analysis/Drop_off Analysis/"/>
    </mc:Choice>
  </mc:AlternateContent>
  <xr:revisionPtr revIDLastSave="103" documentId="8_{EBAAB067-4B21-4AB1-B85E-3173768216CF}" xr6:coauthVersionLast="47" xr6:coauthVersionMax="47" xr10:uidLastSave="{02FFAE28-DA20-4653-8B46-92386614EA2F}"/>
  <bookViews>
    <workbookView xWindow="-108" yWindow="-108" windowWidth="23256" windowHeight="12456" firstSheet="2" activeTab="6" xr2:uid="{11839017-9E24-4D2C-BB42-9968ADB13767}"/>
  </bookViews>
  <sheets>
    <sheet name="Dropoff_Users" sheetId="1" r:id="rId1"/>
    <sheet name="Platform_Analysis" sheetId="2" r:id="rId2"/>
    <sheet name="Plan_Analysis" sheetId="3" r:id="rId3"/>
    <sheet name="Payment_method_analysis" sheetId="4" r:id="rId4"/>
    <sheet name="Payment_failure_Analysis" sheetId="5" r:id="rId5"/>
    <sheet name="New vs Return users" sheetId="6" r:id="rId6"/>
    <sheet name="Geography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3" i="1"/>
  <c r="K4" i="1"/>
  <c r="K5" i="1"/>
  <c r="K6" i="1"/>
  <c r="K7" i="1"/>
  <c r="K8" i="1"/>
  <c r="K3" i="1"/>
  <c r="J4" i="1"/>
  <c r="J5" i="1"/>
  <c r="J6" i="1"/>
  <c r="J7" i="1"/>
  <c r="J8" i="1"/>
  <c r="J3" i="1"/>
</calcChain>
</file>

<file path=xl/sharedStrings.xml><?xml version="1.0" encoding="utf-8"?>
<sst xmlns="http://schemas.openxmlformats.org/spreadsheetml/2006/main" count="315" uniqueCount="55">
  <si>
    <t>Previous Stage users</t>
  </si>
  <si>
    <t>app_open</t>
  </si>
  <si>
    <t>paywall_viewed</t>
  </si>
  <si>
    <t>plan_selected</t>
  </si>
  <si>
    <t>payment_initiated</t>
  </si>
  <si>
    <t>payment_success</t>
  </si>
  <si>
    <t>payment_failed</t>
  </si>
  <si>
    <t>Next Stage Users</t>
  </si>
  <si>
    <t>Event_name</t>
  </si>
  <si>
    <t>users</t>
  </si>
  <si>
    <t>event_name</t>
  </si>
  <si>
    <t>Conversion</t>
  </si>
  <si>
    <t>Drop_off</t>
  </si>
  <si>
    <t>Drop_off %</t>
  </si>
  <si>
    <t>Actual Drop_off</t>
  </si>
  <si>
    <t>Web</t>
  </si>
  <si>
    <t>Ios</t>
  </si>
  <si>
    <t>Android</t>
  </si>
  <si>
    <t>User</t>
  </si>
  <si>
    <t>Platform</t>
  </si>
  <si>
    <t>Basic</t>
  </si>
  <si>
    <t>Premium</t>
  </si>
  <si>
    <t>Standard</t>
  </si>
  <si>
    <t>Plan</t>
  </si>
  <si>
    <t>Event_Name</t>
  </si>
  <si>
    <t>Users</t>
  </si>
  <si>
    <t>Credit Card</t>
  </si>
  <si>
    <t>Debit Card</t>
  </si>
  <si>
    <t>Net Banking</t>
  </si>
  <si>
    <t>Unknown</t>
  </si>
  <si>
    <t>UPI</t>
  </si>
  <si>
    <t>Wallet</t>
  </si>
  <si>
    <t>Payment_method</t>
  </si>
  <si>
    <t>Bank Declined</t>
  </si>
  <si>
    <t>Gateway Timeout</t>
  </si>
  <si>
    <t>Technical Error</t>
  </si>
  <si>
    <t>Insufficient Funds</t>
  </si>
  <si>
    <t>User Abandoned</t>
  </si>
  <si>
    <t>Failure_Reason</t>
  </si>
  <si>
    <t>Failed_Payments</t>
  </si>
  <si>
    <t>New</t>
  </si>
  <si>
    <t>Returning</t>
  </si>
  <si>
    <t>user_type</t>
  </si>
  <si>
    <t>Assam</t>
  </si>
  <si>
    <t>Bihar</t>
  </si>
  <si>
    <t>Delhi</t>
  </si>
  <si>
    <t>Gujarat</t>
  </si>
  <si>
    <t>Karnataka</t>
  </si>
  <si>
    <t>Maharashtra</t>
  </si>
  <si>
    <t>Odisha</t>
  </si>
  <si>
    <t>Rajasthan</t>
  </si>
  <si>
    <t>Tamil Nadu</t>
  </si>
  <si>
    <t>Telangana</t>
  </si>
  <si>
    <t>West Bengal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</si>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</sst>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/>
    <xf numFmtId="2" fontId="0" fillId="0" borderId="1" xfId="0" applyNumberFormat="1" applyBorder="1"/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/>
    <xf numFmtId="0" fontId="0" fillId="0" borderId="4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" xfId="0" applyBorder="1"/>
    <xf numFmtId="0" fontId="0" fillId="0" borderId="9" xfId="0" applyBorder="1" applyAlignment="1">
      <alignment horizontal="center" vertical="center"/>
    </xf>
    <xf numFmtId="2" fontId="0" fillId="0" borderId="10" xfId="0" applyNumberFormat="1" applyBorder="1"/>
    <xf numFmtId="0" fontId="0" fillId="0" borderId="10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47"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6EE43E-DCE4-4DED-94B5-5BA884CE75BE}" name="Table5" displayName="Table5" ref="A2:B8" totalsRowShown="0" headerRowDxfId="23" headerRowBorderDxfId="27" tableBorderDxfId="28" totalsRowBorderDxfId="26">
  <autoFilter ref="A2:B8" xr:uid="{8D6EE43E-DCE4-4DED-94B5-5BA884CE75BE}"/>
  <tableColumns count="2">
    <tableColumn id="1" xr3:uid="{1C2042B0-BE90-4F40-BB64-D132ED5CF265}" name="event_name" dataDxfId="25"/>
    <tableColumn id="2" xr3:uid="{56CE5E4B-AA0B-4CB4-9E7A-3B5D1A47B7EA}" name="users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5A9909-D6EB-44E1-A7C9-E2D646228E2A}" name="Table6" displayName="Table6" ref="E2:F8" totalsRowShown="0" headerRowDxfId="14" headerRowBorderDxfId="12" tableBorderDxfId="13" totalsRowBorderDxfId="11">
  <autoFilter ref="E2:F8" xr:uid="{725A9909-D6EB-44E1-A7C9-E2D646228E2A}"/>
  <tableColumns count="2">
    <tableColumn id="1" xr3:uid="{8274DFF6-FAC2-427B-A79D-B4137FE02A9C}" name="Event_name" dataDxfId="10"/>
    <tableColumn id="2" xr3:uid="{A5966C1A-6F83-4B1D-8D8E-0994534910D0}" name="users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4F81C33-E592-4B29-9C19-0D80594FC23F}" name="Table7" displayName="Table7" ref="I2:L8" totalsRowShown="0" headerRowDxfId="15" headerRowBorderDxfId="21" tableBorderDxfId="22" totalsRowBorderDxfId="20">
  <autoFilter ref="I2:L8" xr:uid="{74F81C33-E592-4B29-9C19-0D80594FC23F}"/>
  <tableColumns count="4">
    <tableColumn id="1" xr3:uid="{F8A9DF19-1C18-436D-923A-4C283DAB3196}" name="Event_name" dataDxfId="19"/>
    <tableColumn id="2" xr3:uid="{43D9729D-B26D-47F8-B145-D27D63B3D9C9}" name="Conversion" dataDxfId="18">
      <calculatedColumnFormula>F3/B3*100</calculatedColumnFormula>
    </tableColumn>
    <tableColumn id="3" xr3:uid="{5D46712F-2EFB-4E6B-BD98-60667CBEB0BC}" name="Drop_off" dataDxfId="17">
      <calculatedColumnFormula>B3-F3</calculatedColumnFormula>
    </tableColumn>
    <tableColumn id="4" xr3:uid="{9CAAE02F-CF65-4A21-BCA7-F3EFF9267FA9}" name="Drop_off %" dataDxfId="16">
      <calculatedColumnFormula>K3/B3*100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7D49FC-8E14-4416-9D7E-7601D53599A5}" name="Table1" displayName="Table1" ref="A1:C19" totalsRowShown="0" headerRowDxfId="46" dataDxfId="45">
  <autoFilter ref="A1:C19" xr:uid="{A9CBD9F1-C5BF-41E5-811E-8685657A93ED}"/>
  <tableColumns count="3">
    <tableColumn id="1" xr3:uid="{75C97122-678B-4946-8E52-C5450CB76540}" name="Platform" dataDxfId="44"/>
    <tableColumn id="2" xr3:uid="{4B1DE557-7F52-40A8-A95B-AF87F19B35E5}" name="Event_name" dataDxfId="43"/>
    <tableColumn id="3" xr3:uid="{547AEB9C-D046-4AB6-96F2-4B27D483C7A5}" name="User" dataDxfId="4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8C21A9-A92A-4E6B-8AFD-AE8D84AE9D28}" name="Table2" displayName="Table2" ref="A1:C19" totalsRowShown="0" dataDxfId="41">
  <autoFilter ref="A1:C19" xr:uid="{838C21A9-A92A-4E6B-8AFD-AE8D84AE9D28}"/>
  <tableColumns count="3">
    <tableColumn id="1" xr3:uid="{E67299FA-C34E-4A40-9C07-B49C372B5D22}" name="Plan" dataDxfId="40"/>
    <tableColumn id="2" xr3:uid="{F8BE709D-FE5B-4AE3-A375-48F661B3B270}" name="Event_Name" dataDxfId="39"/>
    <tableColumn id="3" xr3:uid="{559B0B31-69ED-4657-B638-26941AC9B043}" name="Users" dataDxfId="38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9B683C-6767-4434-A47A-3D578E1CDEF0}" name="Table3" displayName="Table3" ref="A1:C19" totalsRowShown="0" headerRowDxfId="37" dataDxfId="36">
  <autoFilter ref="A1:C19" xr:uid="{829B683C-6767-4434-A47A-3D578E1CDEF0}"/>
  <tableColumns count="3">
    <tableColumn id="1" xr3:uid="{B4E414B4-1E1C-420D-AB78-249B870E0AE4}" name="Payment_method" dataDxfId="35"/>
    <tableColumn id="2" xr3:uid="{28E17379-8B9C-4BAE-9D8E-AF4C800D3DFC}" name="Event_name" dataDxfId="34"/>
    <tableColumn id="3" xr3:uid="{79147831-949A-4C98-95E0-AC706533EECC}" name="Users" dataDxfId="33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AC7AC1-8D88-4321-A422-1FE73000E666}" name="Table4" displayName="Table4" ref="A1:B6" totalsRowShown="0" headerRowDxfId="31" dataDxfId="32">
  <autoFilter ref="A1:B6" xr:uid="{A0AC7AC1-8D88-4321-A422-1FE73000E666}"/>
  <tableColumns count="2">
    <tableColumn id="1" xr3:uid="{90AD14D4-B696-4670-AC5C-5A18B0695B0F}" name="Failure_Reason" dataDxfId="30"/>
    <tableColumn id="2" xr3:uid="{C2485993-5901-48C0-A74B-ECD38DD70D01}" name="Failed_Payments" dataDxfId="2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7BC5F92-14D4-43C3-AD36-BF757B7FBA64}" name="Table8" displayName="Table8" ref="A1:C13" totalsRowShown="0" dataDxfId="5">
  <autoFilter ref="A1:C13" xr:uid="{A7BC5F92-14D4-43C3-AD36-BF757B7FBA64}"/>
  <tableColumns count="3">
    <tableColumn id="1" xr3:uid="{8CE945F0-91FE-4941-86F7-89826C7DF7A8}" name="user_type" dataDxfId="8"/>
    <tableColumn id="2" xr3:uid="{D89483DE-6971-4E37-9711-6A0DEFB286C2}" name="event_name" dataDxfId="7"/>
    <tableColumn id="3" xr3:uid="{460777BE-C4B6-447D-812D-D989B5115F47}" name="users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B86A124-E703-4F8D-AE62-36EAED24140F}" name="Table9" displayName="Table9" ref="A1:C67" totalsRowShown="0" headerRowDxfId="3" dataDxfId="4">
  <autoFilter ref="A1:C67" xr:uid="{8B86A124-E703-4F8D-AE62-36EAED24140F}"/>
  <tableColumns count="3">
    <tableColumn id="1" xr3:uid="{C691A724-A6DF-4346-921C-EB6317B3594C}" name="State" dataDxfId="2"/>
    <tableColumn id="2" xr3:uid="{6A945A4D-2B06-4D5A-907E-BAFCEC6941EC}" name="Event_name" dataDxfId="0"/>
    <tableColumn id="3" xr3:uid="{E32F18FF-DF80-4E3F-9C5B-A5FBC5DFCC67}" name="users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0E7E8-3D22-41BA-AEFF-D0DCB1CE1104}">
  <dimension ref="A1:L8"/>
  <sheetViews>
    <sheetView zoomScale="114" workbookViewId="0">
      <selection activeCell="F11" sqref="F11"/>
    </sheetView>
  </sheetViews>
  <sheetFormatPr defaultRowHeight="14.4" x14ac:dyDescent="0.3"/>
  <cols>
    <col min="1" max="1" width="20.44140625" customWidth="1"/>
    <col min="2" max="2" width="11.88671875" customWidth="1"/>
    <col min="5" max="5" width="17" customWidth="1"/>
    <col min="6" max="6" width="11.5546875" customWidth="1"/>
    <col min="9" max="9" width="18.5546875" customWidth="1"/>
    <col min="10" max="10" width="12.21875" customWidth="1"/>
    <col min="11" max="11" width="9.77734375" customWidth="1"/>
    <col min="12" max="12" width="11.6640625" customWidth="1"/>
  </cols>
  <sheetData>
    <row r="1" spans="1:12" x14ac:dyDescent="0.3">
      <c r="A1" s="25" t="s">
        <v>0</v>
      </c>
      <c r="B1" s="25"/>
      <c r="E1" s="25" t="s">
        <v>7</v>
      </c>
      <c r="F1" s="25"/>
      <c r="I1" s="22" t="s">
        <v>14</v>
      </c>
      <c r="J1" s="23"/>
      <c r="K1" s="23"/>
      <c r="L1" s="24"/>
    </row>
    <row r="2" spans="1:12" x14ac:dyDescent="0.3">
      <c r="A2" s="11" t="s">
        <v>10</v>
      </c>
      <c r="B2" s="12" t="s">
        <v>9</v>
      </c>
      <c r="E2" s="11" t="s">
        <v>8</v>
      </c>
      <c r="F2" s="12" t="s">
        <v>9</v>
      </c>
      <c r="I2" s="11" t="s">
        <v>8</v>
      </c>
      <c r="J2" s="19" t="s">
        <v>11</v>
      </c>
      <c r="K2" s="19" t="s">
        <v>12</v>
      </c>
      <c r="L2" s="12" t="s">
        <v>13</v>
      </c>
    </row>
    <row r="3" spans="1:12" x14ac:dyDescent="0.3">
      <c r="A3" s="9" t="s">
        <v>1</v>
      </c>
      <c r="B3" s="10">
        <v>10001</v>
      </c>
      <c r="E3" s="16" t="s">
        <v>1</v>
      </c>
      <c r="F3" s="10">
        <v>10000</v>
      </c>
      <c r="I3" s="16" t="s">
        <v>1</v>
      </c>
      <c r="J3" s="8">
        <f>F3/B3*100</f>
        <v>99.990000999900005</v>
      </c>
      <c r="K3" s="7">
        <f>B3-F3</f>
        <v>1</v>
      </c>
      <c r="L3" s="18">
        <f>K3/B3*100</f>
        <v>9.9990000999900016E-3</v>
      </c>
    </row>
    <row r="4" spans="1:12" x14ac:dyDescent="0.3">
      <c r="A4" s="9" t="s">
        <v>2</v>
      </c>
      <c r="B4" s="10">
        <v>7848</v>
      </c>
      <c r="E4" s="16" t="s">
        <v>2</v>
      </c>
      <c r="F4" s="10">
        <v>7845</v>
      </c>
      <c r="I4" s="16" t="s">
        <v>2</v>
      </c>
      <c r="J4" s="8">
        <f t="shared" ref="J4:J8" si="0">F4/B4*100</f>
        <v>99.961773700305812</v>
      </c>
      <c r="K4" s="7">
        <f t="shared" ref="K4:K8" si="1">B4-F4</f>
        <v>3</v>
      </c>
      <c r="L4" s="18">
        <f t="shared" ref="L4:L8" si="2">K4/B4*100</f>
        <v>3.82262996941896E-2</v>
      </c>
    </row>
    <row r="5" spans="1:12" x14ac:dyDescent="0.3">
      <c r="A5" s="9" t="s">
        <v>3</v>
      </c>
      <c r="B5" s="10">
        <v>5734</v>
      </c>
      <c r="E5" s="16" t="s">
        <v>3</v>
      </c>
      <c r="F5" s="10">
        <v>5731</v>
      </c>
      <c r="I5" s="16" t="s">
        <v>3</v>
      </c>
      <c r="J5" s="8">
        <f t="shared" si="0"/>
        <v>99.947680502267175</v>
      </c>
      <c r="K5" s="7">
        <f t="shared" si="1"/>
        <v>3</v>
      </c>
      <c r="L5" s="18">
        <f t="shared" si="2"/>
        <v>5.2319497732821761E-2</v>
      </c>
    </row>
    <row r="6" spans="1:12" x14ac:dyDescent="0.3">
      <c r="A6" s="9" t="s">
        <v>4</v>
      </c>
      <c r="B6" s="10">
        <v>4686</v>
      </c>
      <c r="E6" s="16" t="s">
        <v>4</v>
      </c>
      <c r="F6" s="10">
        <v>4686</v>
      </c>
      <c r="I6" s="16" t="s">
        <v>4</v>
      </c>
      <c r="J6" s="8">
        <f t="shared" si="0"/>
        <v>100</v>
      </c>
      <c r="K6" s="7">
        <f t="shared" si="1"/>
        <v>0</v>
      </c>
      <c r="L6" s="18">
        <f t="shared" si="2"/>
        <v>0</v>
      </c>
    </row>
    <row r="7" spans="1:12" x14ac:dyDescent="0.3">
      <c r="A7" s="9" t="s">
        <v>5</v>
      </c>
      <c r="B7" s="10">
        <v>3884</v>
      </c>
      <c r="E7" s="16" t="s">
        <v>5</v>
      </c>
      <c r="F7" s="10">
        <v>3882</v>
      </c>
      <c r="I7" s="16" t="s">
        <v>5</v>
      </c>
      <c r="J7" s="8">
        <f t="shared" si="0"/>
        <v>99.948506694129762</v>
      </c>
      <c r="K7" s="7">
        <f t="shared" si="1"/>
        <v>2</v>
      </c>
      <c r="L7" s="18">
        <f t="shared" si="2"/>
        <v>5.1493305870236865E-2</v>
      </c>
    </row>
    <row r="8" spans="1:12" x14ac:dyDescent="0.3">
      <c r="A8" s="13" t="s">
        <v>6</v>
      </c>
      <c r="B8" s="14">
        <v>805</v>
      </c>
      <c r="E8" s="17" t="s">
        <v>6</v>
      </c>
      <c r="F8" s="14">
        <v>804</v>
      </c>
      <c r="I8" s="17" t="s">
        <v>6</v>
      </c>
      <c r="J8" s="20">
        <f t="shared" si="0"/>
        <v>99.875776397515523</v>
      </c>
      <c r="K8" s="21">
        <f t="shared" si="1"/>
        <v>1</v>
      </c>
      <c r="L8" s="15">
        <f t="shared" si="2"/>
        <v>0.12422360248447205</v>
      </c>
    </row>
  </sheetData>
  <mergeCells count="3">
    <mergeCell ref="A1:B1"/>
    <mergeCell ref="E1:F1"/>
    <mergeCell ref="I1:L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02742-FFA5-4147-B7E3-11B39093398A}">
  <dimension ref="A1:C19"/>
  <sheetViews>
    <sheetView workbookViewId="0">
      <selection activeCell="E24" sqref="E24"/>
    </sheetView>
  </sheetViews>
  <sheetFormatPr defaultRowHeight="14.4" x14ac:dyDescent="0.3"/>
  <cols>
    <col min="1" max="1" width="17.33203125" customWidth="1"/>
    <col min="2" max="2" width="21.44140625" customWidth="1"/>
    <col min="3" max="3" width="14.88671875" customWidth="1"/>
  </cols>
  <sheetData>
    <row r="1" spans="1:3" x14ac:dyDescent="0.3">
      <c r="A1" s="4" t="s">
        <v>19</v>
      </c>
      <c r="B1" s="4" t="s">
        <v>8</v>
      </c>
      <c r="C1" s="4" t="s">
        <v>18</v>
      </c>
    </row>
    <row r="2" spans="1:3" x14ac:dyDescent="0.3">
      <c r="A2" s="5" t="s">
        <v>17</v>
      </c>
      <c r="B2" s="6" t="s">
        <v>1</v>
      </c>
      <c r="C2" s="5">
        <v>5521</v>
      </c>
    </row>
    <row r="3" spans="1:3" x14ac:dyDescent="0.3">
      <c r="A3" s="5" t="s">
        <v>17</v>
      </c>
      <c r="B3" s="6" t="s">
        <v>2</v>
      </c>
      <c r="C3" s="5">
        <v>4280</v>
      </c>
    </row>
    <row r="4" spans="1:3" x14ac:dyDescent="0.3">
      <c r="A4" s="5" t="s">
        <v>17</v>
      </c>
      <c r="B4" s="6" t="s">
        <v>3</v>
      </c>
      <c r="C4" s="5">
        <v>3118</v>
      </c>
    </row>
    <row r="5" spans="1:3" x14ac:dyDescent="0.3">
      <c r="A5" s="5" t="s">
        <v>17</v>
      </c>
      <c r="B5" s="6" t="s">
        <v>4</v>
      </c>
      <c r="C5" s="5">
        <v>2555</v>
      </c>
    </row>
    <row r="6" spans="1:3" x14ac:dyDescent="0.3">
      <c r="A6" s="5" t="s">
        <v>17</v>
      </c>
      <c r="B6" s="6" t="s">
        <v>5</v>
      </c>
      <c r="C6" s="5">
        <v>2127</v>
      </c>
    </row>
    <row r="7" spans="1:3" x14ac:dyDescent="0.3">
      <c r="A7" s="5" t="s">
        <v>17</v>
      </c>
      <c r="B7" s="6" t="s">
        <v>6</v>
      </c>
      <c r="C7" s="5">
        <v>428</v>
      </c>
    </row>
    <row r="8" spans="1:3" x14ac:dyDescent="0.3">
      <c r="A8" s="5" t="s">
        <v>16</v>
      </c>
      <c r="B8" s="6" t="s">
        <v>1</v>
      </c>
      <c r="C8" s="5">
        <v>2461</v>
      </c>
    </row>
    <row r="9" spans="1:3" x14ac:dyDescent="0.3">
      <c r="A9" s="5" t="s">
        <v>16</v>
      </c>
      <c r="B9" s="6" t="s">
        <v>2</v>
      </c>
      <c r="C9" s="5">
        <v>2026</v>
      </c>
    </row>
    <row r="10" spans="1:3" x14ac:dyDescent="0.3">
      <c r="A10" s="5" t="s">
        <v>16</v>
      </c>
      <c r="B10" s="6" t="s">
        <v>3</v>
      </c>
      <c r="C10" s="5">
        <v>1491</v>
      </c>
    </row>
    <row r="11" spans="1:3" x14ac:dyDescent="0.3">
      <c r="A11" s="5" t="s">
        <v>16</v>
      </c>
      <c r="B11" s="6" t="s">
        <v>4</v>
      </c>
      <c r="C11" s="5">
        <v>1212</v>
      </c>
    </row>
    <row r="12" spans="1:3" x14ac:dyDescent="0.3">
      <c r="A12" s="5" t="s">
        <v>16</v>
      </c>
      <c r="B12" s="6" t="s">
        <v>5</v>
      </c>
      <c r="C12" s="5">
        <v>1001</v>
      </c>
    </row>
    <row r="13" spans="1:3" x14ac:dyDescent="0.3">
      <c r="A13" s="5" t="s">
        <v>16</v>
      </c>
      <c r="B13" s="6" t="s">
        <v>6</v>
      </c>
      <c r="C13" s="5">
        <v>211</v>
      </c>
    </row>
    <row r="14" spans="1:3" x14ac:dyDescent="0.3">
      <c r="A14" s="5" t="s">
        <v>15</v>
      </c>
      <c r="B14" s="6" t="s">
        <v>1</v>
      </c>
      <c r="C14" s="5">
        <v>2018</v>
      </c>
    </row>
    <row r="15" spans="1:3" x14ac:dyDescent="0.3">
      <c r="A15" s="5" t="s">
        <v>15</v>
      </c>
      <c r="B15" s="6" t="s">
        <v>2</v>
      </c>
      <c r="C15" s="5">
        <v>1539</v>
      </c>
    </row>
    <row r="16" spans="1:3" x14ac:dyDescent="0.3">
      <c r="A16" s="5" t="s">
        <v>15</v>
      </c>
      <c r="B16" s="6" t="s">
        <v>3</v>
      </c>
      <c r="C16" s="5">
        <v>1122</v>
      </c>
    </row>
    <row r="17" spans="1:3" x14ac:dyDescent="0.3">
      <c r="A17" s="5" t="s">
        <v>15</v>
      </c>
      <c r="B17" s="6" t="s">
        <v>4</v>
      </c>
      <c r="C17" s="5">
        <v>919</v>
      </c>
    </row>
    <row r="18" spans="1:3" x14ac:dyDescent="0.3">
      <c r="A18" s="5" t="s">
        <v>15</v>
      </c>
      <c r="B18" s="6" t="s">
        <v>5</v>
      </c>
      <c r="C18" s="5">
        <v>754</v>
      </c>
    </row>
    <row r="19" spans="1:3" x14ac:dyDescent="0.3">
      <c r="A19" s="5" t="s">
        <v>15</v>
      </c>
      <c r="B19" s="6" t="s">
        <v>6</v>
      </c>
      <c r="C19" s="5">
        <v>165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4185D-F14E-4272-AC68-A0C70F16A42F}">
  <dimension ref="A1:C19"/>
  <sheetViews>
    <sheetView workbookViewId="0">
      <selection activeCell="G5" sqref="G5"/>
    </sheetView>
  </sheetViews>
  <sheetFormatPr defaultRowHeight="14.4" x14ac:dyDescent="0.3"/>
  <cols>
    <col min="1" max="1" width="16.109375" style="4" customWidth="1"/>
    <col min="2" max="2" width="16.77734375" style="3" customWidth="1"/>
    <col min="3" max="3" width="13.77734375" style="4" customWidth="1"/>
  </cols>
  <sheetData>
    <row r="1" spans="1:3" x14ac:dyDescent="0.3">
      <c r="A1" s="4" t="s">
        <v>23</v>
      </c>
      <c r="B1" s="3" t="s">
        <v>24</v>
      </c>
      <c r="C1" s="4" t="s">
        <v>25</v>
      </c>
    </row>
    <row r="2" spans="1:3" x14ac:dyDescent="0.3">
      <c r="A2" s="5" t="s">
        <v>20</v>
      </c>
      <c r="B2" s="1" t="s">
        <v>1</v>
      </c>
      <c r="C2" s="5">
        <v>3001</v>
      </c>
    </row>
    <row r="3" spans="1:3" x14ac:dyDescent="0.3">
      <c r="A3" s="5" t="s">
        <v>20</v>
      </c>
      <c r="B3" s="1" t="s">
        <v>2</v>
      </c>
      <c r="C3" s="5">
        <v>2376</v>
      </c>
    </row>
    <row r="4" spans="1:3" x14ac:dyDescent="0.3">
      <c r="A4" s="5" t="s">
        <v>20</v>
      </c>
      <c r="B4" s="1" t="s">
        <v>3</v>
      </c>
      <c r="C4" s="5">
        <v>1675</v>
      </c>
    </row>
    <row r="5" spans="1:3" x14ac:dyDescent="0.3">
      <c r="A5" s="5" t="s">
        <v>20</v>
      </c>
      <c r="B5" s="1" t="s">
        <v>4</v>
      </c>
      <c r="C5" s="5">
        <v>1380</v>
      </c>
    </row>
    <row r="6" spans="1:3" x14ac:dyDescent="0.3">
      <c r="A6" s="5" t="s">
        <v>20</v>
      </c>
      <c r="B6" s="1" t="s">
        <v>5</v>
      </c>
      <c r="C6" s="5">
        <v>1155</v>
      </c>
    </row>
    <row r="7" spans="1:3" x14ac:dyDescent="0.3">
      <c r="A7" s="5" t="s">
        <v>20</v>
      </c>
      <c r="B7" s="1" t="s">
        <v>6</v>
      </c>
      <c r="C7" s="5">
        <v>225</v>
      </c>
    </row>
    <row r="8" spans="1:3" x14ac:dyDescent="0.3">
      <c r="A8" s="5" t="s">
        <v>21</v>
      </c>
      <c r="B8" s="1" t="s">
        <v>1</v>
      </c>
      <c r="C8" s="5">
        <v>3473</v>
      </c>
    </row>
    <row r="9" spans="1:3" x14ac:dyDescent="0.3">
      <c r="A9" s="5" t="s">
        <v>21</v>
      </c>
      <c r="B9" s="1" t="s">
        <v>2</v>
      </c>
      <c r="C9" s="5">
        <v>2711</v>
      </c>
    </row>
    <row r="10" spans="1:3" x14ac:dyDescent="0.3">
      <c r="A10" s="5" t="s">
        <v>21</v>
      </c>
      <c r="B10" s="1" t="s">
        <v>3</v>
      </c>
      <c r="C10" s="5">
        <v>2069</v>
      </c>
    </row>
    <row r="11" spans="1:3" x14ac:dyDescent="0.3">
      <c r="A11" s="5" t="s">
        <v>21</v>
      </c>
      <c r="B11" s="1" t="s">
        <v>4</v>
      </c>
      <c r="C11" s="5">
        <v>1689</v>
      </c>
    </row>
    <row r="12" spans="1:3" x14ac:dyDescent="0.3">
      <c r="A12" s="5" t="s">
        <v>21</v>
      </c>
      <c r="B12" s="1" t="s">
        <v>5</v>
      </c>
      <c r="C12" s="5">
        <v>1388</v>
      </c>
    </row>
    <row r="13" spans="1:3" x14ac:dyDescent="0.3">
      <c r="A13" s="5" t="s">
        <v>21</v>
      </c>
      <c r="B13" s="1" t="s">
        <v>6</v>
      </c>
      <c r="C13" s="5">
        <v>301</v>
      </c>
    </row>
    <row r="14" spans="1:3" x14ac:dyDescent="0.3">
      <c r="A14" s="5" t="s">
        <v>22</v>
      </c>
      <c r="B14" s="1" t="s">
        <v>1</v>
      </c>
      <c r="C14" s="5">
        <v>3526</v>
      </c>
    </row>
    <row r="15" spans="1:3" x14ac:dyDescent="0.3">
      <c r="A15" s="5" t="s">
        <v>22</v>
      </c>
      <c r="B15" s="1" t="s">
        <v>2</v>
      </c>
      <c r="C15" s="5">
        <v>2758</v>
      </c>
    </row>
    <row r="16" spans="1:3" x14ac:dyDescent="0.3">
      <c r="A16" s="5" t="s">
        <v>22</v>
      </c>
      <c r="B16" s="1" t="s">
        <v>3</v>
      </c>
      <c r="C16" s="5">
        <v>1987</v>
      </c>
    </row>
    <row r="17" spans="1:3" x14ac:dyDescent="0.3">
      <c r="A17" s="5" t="s">
        <v>22</v>
      </c>
      <c r="B17" s="1" t="s">
        <v>4</v>
      </c>
      <c r="C17" s="5">
        <v>1617</v>
      </c>
    </row>
    <row r="18" spans="1:3" x14ac:dyDescent="0.3">
      <c r="A18" s="5" t="s">
        <v>22</v>
      </c>
      <c r="B18" s="1" t="s">
        <v>5</v>
      </c>
      <c r="C18" s="5">
        <v>1339</v>
      </c>
    </row>
    <row r="19" spans="1:3" x14ac:dyDescent="0.3">
      <c r="A19" s="5" t="s">
        <v>22</v>
      </c>
      <c r="B19" s="1" t="s">
        <v>6</v>
      </c>
      <c r="C19" s="5">
        <v>278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E07A8-7936-4F68-976D-6B5588EDAA65}">
  <dimension ref="A1:C19"/>
  <sheetViews>
    <sheetView workbookViewId="0">
      <selection activeCell="F8" sqref="F8"/>
    </sheetView>
  </sheetViews>
  <sheetFormatPr defaultRowHeight="14.4" x14ac:dyDescent="0.3"/>
  <cols>
    <col min="1" max="1" width="17.44140625" style="2" customWidth="1"/>
    <col min="2" max="2" width="17.21875" customWidth="1"/>
    <col min="3" max="3" width="16.88671875" style="2" customWidth="1"/>
  </cols>
  <sheetData>
    <row r="1" spans="1:3" x14ac:dyDescent="0.3">
      <c r="A1" s="4" t="s">
        <v>32</v>
      </c>
      <c r="B1" s="4" t="s">
        <v>8</v>
      </c>
      <c r="C1" s="4" t="s">
        <v>25</v>
      </c>
    </row>
    <row r="2" spans="1:3" x14ac:dyDescent="0.3">
      <c r="A2" s="5" t="s">
        <v>26</v>
      </c>
      <c r="B2" s="1" t="s">
        <v>6</v>
      </c>
      <c r="C2" s="5">
        <v>155</v>
      </c>
    </row>
    <row r="3" spans="1:3" x14ac:dyDescent="0.3">
      <c r="A3" s="5" t="s">
        <v>26</v>
      </c>
      <c r="B3" s="1" t="s">
        <v>4</v>
      </c>
      <c r="C3" s="5">
        <v>803</v>
      </c>
    </row>
    <row r="4" spans="1:3" x14ac:dyDescent="0.3">
      <c r="A4" s="5" t="s">
        <v>26</v>
      </c>
      <c r="B4" s="1" t="s">
        <v>5</v>
      </c>
      <c r="C4" s="5">
        <v>650</v>
      </c>
    </row>
    <row r="5" spans="1:3" x14ac:dyDescent="0.3">
      <c r="A5" s="5" t="s">
        <v>27</v>
      </c>
      <c r="B5" s="1" t="s">
        <v>6</v>
      </c>
      <c r="C5" s="5">
        <v>183</v>
      </c>
    </row>
    <row r="6" spans="1:3" x14ac:dyDescent="0.3">
      <c r="A6" s="5" t="s">
        <v>27</v>
      </c>
      <c r="B6" s="1" t="s">
        <v>4</v>
      </c>
      <c r="C6" s="5">
        <v>773</v>
      </c>
    </row>
    <row r="7" spans="1:3" x14ac:dyDescent="0.3">
      <c r="A7" s="5" t="s">
        <v>27</v>
      </c>
      <c r="B7" s="1" t="s">
        <v>5</v>
      </c>
      <c r="C7" s="5">
        <v>592</v>
      </c>
    </row>
    <row r="8" spans="1:3" x14ac:dyDescent="0.3">
      <c r="A8" s="5" t="s">
        <v>28</v>
      </c>
      <c r="B8" s="1" t="s">
        <v>6</v>
      </c>
      <c r="C8" s="5">
        <v>120</v>
      </c>
    </row>
    <row r="9" spans="1:3" x14ac:dyDescent="0.3">
      <c r="A9" s="5" t="s">
        <v>28</v>
      </c>
      <c r="B9" s="1" t="s">
        <v>4</v>
      </c>
      <c r="C9" s="5">
        <v>575</v>
      </c>
    </row>
    <row r="10" spans="1:3" x14ac:dyDescent="0.3">
      <c r="A10" s="5" t="s">
        <v>28</v>
      </c>
      <c r="B10" s="1" t="s">
        <v>5</v>
      </c>
      <c r="C10" s="5">
        <v>457</v>
      </c>
    </row>
    <row r="11" spans="1:3" x14ac:dyDescent="0.3">
      <c r="A11" s="5" t="s">
        <v>29</v>
      </c>
      <c r="B11" s="1" t="s">
        <v>6</v>
      </c>
      <c r="C11" s="5">
        <v>3</v>
      </c>
    </row>
    <row r="12" spans="1:3" x14ac:dyDescent="0.3">
      <c r="A12" s="5" t="s">
        <v>29</v>
      </c>
      <c r="B12" s="1" t="s">
        <v>4</v>
      </c>
      <c r="C12" s="5">
        <v>22</v>
      </c>
    </row>
    <row r="13" spans="1:3" x14ac:dyDescent="0.3">
      <c r="A13" s="5" t="s">
        <v>29</v>
      </c>
      <c r="B13" s="1" t="s">
        <v>5</v>
      </c>
      <c r="C13" s="5">
        <v>13</v>
      </c>
    </row>
    <row r="14" spans="1:3" x14ac:dyDescent="0.3">
      <c r="A14" s="5" t="s">
        <v>30</v>
      </c>
      <c r="B14" s="1" t="s">
        <v>6</v>
      </c>
      <c r="C14" s="5">
        <v>283</v>
      </c>
    </row>
    <row r="15" spans="1:3" x14ac:dyDescent="0.3">
      <c r="A15" s="5" t="s">
        <v>30</v>
      </c>
      <c r="B15" s="1" t="s">
        <v>4</v>
      </c>
      <c r="C15" s="5">
        <v>2097</v>
      </c>
    </row>
    <row r="16" spans="1:3" x14ac:dyDescent="0.3">
      <c r="A16" s="5" t="s">
        <v>30</v>
      </c>
      <c r="B16" s="1" t="s">
        <v>5</v>
      </c>
      <c r="C16" s="5">
        <v>1816</v>
      </c>
    </row>
    <row r="17" spans="1:3" x14ac:dyDescent="0.3">
      <c r="A17" s="5" t="s">
        <v>31</v>
      </c>
      <c r="B17" s="1" t="s">
        <v>6</v>
      </c>
      <c r="C17" s="5">
        <v>60</v>
      </c>
    </row>
    <row r="18" spans="1:3" x14ac:dyDescent="0.3">
      <c r="A18" s="5" t="s">
        <v>31</v>
      </c>
      <c r="B18" s="1" t="s">
        <v>4</v>
      </c>
      <c r="C18" s="5">
        <v>416</v>
      </c>
    </row>
    <row r="19" spans="1:3" x14ac:dyDescent="0.3">
      <c r="A19" s="5" t="s">
        <v>31</v>
      </c>
      <c r="B19" s="1" t="s">
        <v>5</v>
      </c>
      <c r="C19" s="5">
        <v>355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8119-DA78-4EE8-989C-A60FA2B0404B}">
  <dimension ref="A1:B6"/>
  <sheetViews>
    <sheetView workbookViewId="0">
      <selection activeCell="B13" sqref="B13"/>
    </sheetView>
  </sheetViews>
  <sheetFormatPr defaultRowHeight="14.4" x14ac:dyDescent="0.3"/>
  <cols>
    <col min="1" max="1" width="19.5546875" customWidth="1"/>
    <col min="2" max="2" width="17.109375" customWidth="1"/>
  </cols>
  <sheetData>
    <row r="1" spans="1:2" x14ac:dyDescent="0.3">
      <c r="A1" s="4" t="s">
        <v>38</v>
      </c>
      <c r="B1" s="4" t="s">
        <v>39</v>
      </c>
    </row>
    <row r="2" spans="1:2" x14ac:dyDescent="0.3">
      <c r="A2" s="1" t="s">
        <v>33</v>
      </c>
      <c r="B2" s="5">
        <v>209</v>
      </c>
    </row>
    <row r="3" spans="1:2" x14ac:dyDescent="0.3">
      <c r="A3" s="1" t="s">
        <v>34</v>
      </c>
      <c r="B3" s="5">
        <v>166</v>
      </c>
    </row>
    <row r="4" spans="1:2" x14ac:dyDescent="0.3">
      <c r="A4" s="1" t="s">
        <v>35</v>
      </c>
      <c r="B4" s="5">
        <v>151</v>
      </c>
    </row>
    <row r="5" spans="1:2" x14ac:dyDescent="0.3">
      <c r="A5" s="1" t="s">
        <v>36</v>
      </c>
      <c r="B5" s="5">
        <v>149</v>
      </c>
    </row>
    <row r="6" spans="1:2" x14ac:dyDescent="0.3">
      <c r="A6" s="1" t="s">
        <v>37</v>
      </c>
      <c r="B6" s="5">
        <v>130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6A1BF-1132-4D42-A524-B84BFE8DE0E7}">
  <dimension ref="A1:C13"/>
  <sheetViews>
    <sheetView workbookViewId="0">
      <selection activeCell="G8" sqref="G8"/>
    </sheetView>
  </sheetViews>
  <sheetFormatPr defaultRowHeight="14.4" x14ac:dyDescent="0.3"/>
  <cols>
    <col min="1" max="1" width="10.88671875" customWidth="1"/>
    <col min="2" max="2" width="19.21875" customWidth="1"/>
    <col min="3" max="3" width="10.21875" customWidth="1"/>
  </cols>
  <sheetData>
    <row r="1" spans="1:3" x14ac:dyDescent="0.3">
      <c r="A1" t="s">
        <v>42</v>
      </c>
      <c r="B1" t="s">
        <v>10</v>
      </c>
      <c r="C1" t="s">
        <v>9</v>
      </c>
    </row>
    <row r="2" spans="1:3" x14ac:dyDescent="0.3">
      <c r="A2" s="1" t="s">
        <v>40</v>
      </c>
      <c r="B2" s="1" t="s">
        <v>1</v>
      </c>
      <c r="C2" s="1">
        <v>6176</v>
      </c>
    </row>
    <row r="3" spans="1:3" x14ac:dyDescent="0.3">
      <c r="A3" s="1" t="s">
        <v>40</v>
      </c>
      <c r="B3" s="1" t="s">
        <v>2</v>
      </c>
      <c r="C3" s="1">
        <v>4834</v>
      </c>
    </row>
    <row r="4" spans="1:3" x14ac:dyDescent="0.3">
      <c r="A4" s="1" t="s">
        <v>40</v>
      </c>
      <c r="B4" s="1" t="s">
        <v>3</v>
      </c>
      <c r="C4" s="1">
        <v>3435</v>
      </c>
    </row>
    <row r="5" spans="1:3" x14ac:dyDescent="0.3">
      <c r="A5" s="1" t="s">
        <v>40</v>
      </c>
      <c r="B5" s="1" t="s">
        <v>4</v>
      </c>
      <c r="C5" s="1">
        <v>2830</v>
      </c>
    </row>
    <row r="6" spans="1:3" x14ac:dyDescent="0.3">
      <c r="A6" s="1" t="s">
        <v>40</v>
      </c>
      <c r="B6" s="1" t="s">
        <v>5</v>
      </c>
      <c r="C6" s="1">
        <v>2331</v>
      </c>
    </row>
    <row r="7" spans="1:3" x14ac:dyDescent="0.3">
      <c r="A7" s="1" t="s">
        <v>40</v>
      </c>
      <c r="B7" s="1" t="s">
        <v>6</v>
      </c>
      <c r="C7" s="1">
        <v>499</v>
      </c>
    </row>
    <row r="8" spans="1:3" x14ac:dyDescent="0.3">
      <c r="A8" s="1" t="s">
        <v>41</v>
      </c>
      <c r="B8" s="1" t="s">
        <v>1</v>
      </c>
      <c r="C8" s="1">
        <v>3824</v>
      </c>
    </row>
    <row r="9" spans="1:3" x14ac:dyDescent="0.3">
      <c r="A9" s="1" t="s">
        <v>41</v>
      </c>
      <c r="B9" s="1" t="s">
        <v>2</v>
      </c>
      <c r="C9" s="1">
        <v>3011</v>
      </c>
    </row>
    <row r="10" spans="1:3" x14ac:dyDescent="0.3">
      <c r="A10" s="1" t="s">
        <v>41</v>
      </c>
      <c r="B10" s="1" t="s">
        <v>3</v>
      </c>
      <c r="C10" s="1">
        <v>2296</v>
      </c>
    </row>
    <row r="11" spans="1:3" x14ac:dyDescent="0.3">
      <c r="A11" s="1" t="s">
        <v>41</v>
      </c>
      <c r="B11" s="1" t="s">
        <v>4</v>
      </c>
      <c r="C11" s="1">
        <v>1856</v>
      </c>
    </row>
    <row r="12" spans="1:3" x14ac:dyDescent="0.3">
      <c r="A12" s="1" t="s">
        <v>41</v>
      </c>
      <c r="B12" s="1" t="s">
        <v>5</v>
      </c>
      <c r="C12" s="1">
        <v>1551</v>
      </c>
    </row>
    <row r="13" spans="1:3" x14ac:dyDescent="0.3">
      <c r="A13" s="1" t="s">
        <v>41</v>
      </c>
      <c r="B13" s="1" t="s">
        <v>6</v>
      </c>
      <c r="C13" s="1">
        <v>305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BC57A-56E5-4737-A086-C4B805C56AF4}">
  <dimension ref="A1:C67"/>
  <sheetViews>
    <sheetView tabSelected="1" workbookViewId="0">
      <selection activeCell="G11" sqref="G11"/>
    </sheetView>
  </sheetViews>
  <sheetFormatPr defaultRowHeight="14.4" x14ac:dyDescent="0.3"/>
  <cols>
    <col min="1" max="1" width="15.33203125" customWidth="1"/>
    <col min="2" max="2" width="19.5546875" style="27" customWidth="1"/>
    <col min="3" max="3" width="18.77734375" customWidth="1"/>
  </cols>
  <sheetData>
    <row r="1" spans="1:3" x14ac:dyDescent="0.3">
      <c r="A1" s="4" t="s">
        <v>54</v>
      </c>
      <c r="B1" s="26" t="s">
        <v>8</v>
      </c>
      <c r="C1" s="4" t="s">
        <v>9</v>
      </c>
    </row>
    <row r="2" spans="1:3" x14ac:dyDescent="0.3">
      <c r="A2" s="5" t="s">
        <v>43</v>
      </c>
      <c r="B2" s="6" t="s">
        <v>1</v>
      </c>
      <c r="C2" s="5">
        <v>856</v>
      </c>
    </row>
    <row r="3" spans="1:3" x14ac:dyDescent="0.3">
      <c r="A3" s="5" t="s">
        <v>43</v>
      </c>
      <c r="B3" s="6" t="s">
        <v>2</v>
      </c>
      <c r="C3" s="5">
        <v>673</v>
      </c>
    </row>
    <row r="4" spans="1:3" x14ac:dyDescent="0.3">
      <c r="A4" s="5" t="s">
        <v>43</v>
      </c>
      <c r="B4" s="6" t="s">
        <v>3</v>
      </c>
      <c r="C4" s="5">
        <v>503</v>
      </c>
    </row>
    <row r="5" spans="1:3" x14ac:dyDescent="0.3">
      <c r="A5" s="5" t="s">
        <v>43</v>
      </c>
      <c r="B5" s="6" t="s">
        <v>4</v>
      </c>
      <c r="C5" s="5">
        <v>409</v>
      </c>
    </row>
    <row r="6" spans="1:3" x14ac:dyDescent="0.3">
      <c r="A6" s="5" t="s">
        <v>43</v>
      </c>
      <c r="B6" s="6" t="s">
        <v>5</v>
      </c>
      <c r="C6" s="5">
        <v>344</v>
      </c>
    </row>
    <row r="7" spans="1:3" x14ac:dyDescent="0.3">
      <c r="A7" s="5" t="s">
        <v>43</v>
      </c>
      <c r="B7" s="6" t="s">
        <v>6</v>
      </c>
      <c r="C7" s="5">
        <v>65</v>
      </c>
    </row>
    <row r="8" spans="1:3" x14ac:dyDescent="0.3">
      <c r="A8" s="5" t="s">
        <v>44</v>
      </c>
      <c r="B8" s="6" t="s">
        <v>1</v>
      </c>
      <c r="C8" s="5">
        <v>833</v>
      </c>
    </row>
    <row r="9" spans="1:3" x14ac:dyDescent="0.3">
      <c r="A9" s="5" t="s">
        <v>44</v>
      </c>
      <c r="B9" s="6" t="s">
        <v>2</v>
      </c>
      <c r="C9" s="5">
        <v>662</v>
      </c>
    </row>
    <row r="10" spans="1:3" x14ac:dyDescent="0.3">
      <c r="A10" s="5" t="s">
        <v>44</v>
      </c>
      <c r="B10" s="6" t="s">
        <v>3</v>
      </c>
      <c r="C10" s="5">
        <v>489</v>
      </c>
    </row>
    <row r="11" spans="1:3" x14ac:dyDescent="0.3">
      <c r="A11" s="5" t="s">
        <v>44</v>
      </c>
      <c r="B11" s="6" t="s">
        <v>4</v>
      </c>
      <c r="C11" s="5">
        <v>399</v>
      </c>
    </row>
    <row r="12" spans="1:3" x14ac:dyDescent="0.3">
      <c r="A12" s="5" t="s">
        <v>44</v>
      </c>
      <c r="B12" s="6" t="s">
        <v>5</v>
      </c>
      <c r="C12" s="5">
        <v>329</v>
      </c>
    </row>
    <row r="13" spans="1:3" x14ac:dyDescent="0.3">
      <c r="A13" s="5" t="s">
        <v>44</v>
      </c>
      <c r="B13" s="6" t="s">
        <v>6</v>
      </c>
      <c r="C13" s="5">
        <v>70</v>
      </c>
    </row>
    <row r="14" spans="1:3" x14ac:dyDescent="0.3">
      <c r="A14" s="5" t="s">
        <v>45</v>
      </c>
      <c r="B14" s="6" t="s">
        <v>1</v>
      </c>
      <c r="C14" s="5">
        <v>856</v>
      </c>
    </row>
    <row r="15" spans="1:3" x14ac:dyDescent="0.3">
      <c r="A15" s="5" t="s">
        <v>45</v>
      </c>
      <c r="B15" s="6" t="s">
        <v>2</v>
      </c>
      <c r="C15" s="5">
        <v>668</v>
      </c>
    </row>
    <row r="16" spans="1:3" x14ac:dyDescent="0.3">
      <c r="A16" s="5" t="s">
        <v>45</v>
      </c>
      <c r="B16" s="6" t="s">
        <v>3</v>
      </c>
      <c r="C16" s="5">
        <v>485</v>
      </c>
    </row>
    <row r="17" spans="1:3" x14ac:dyDescent="0.3">
      <c r="A17" s="5" t="s">
        <v>45</v>
      </c>
      <c r="B17" s="6" t="s">
        <v>4</v>
      </c>
      <c r="C17" s="5">
        <v>398</v>
      </c>
    </row>
    <row r="18" spans="1:3" x14ac:dyDescent="0.3">
      <c r="A18" s="5" t="s">
        <v>45</v>
      </c>
      <c r="B18" s="6" t="s">
        <v>5</v>
      </c>
      <c r="C18" s="5">
        <v>341</v>
      </c>
    </row>
    <row r="19" spans="1:3" x14ac:dyDescent="0.3">
      <c r="A19" s="5" t="s">
        <v>45</v>
      </c>
      <c r="B19" s="6" t="s">
        <v>6</v>
      </c>
      <c r="C19" s="5">
        <v>57</v>
      </c>
    </row>
    <row r="20" spans="1:3" x14ac:dyDescent="0.3">
      <c r="A20" s="5" t="s">
        <v>46</v>
      </c>
      <c r="B20" s="6" t="s">
        <v>1</v>
      </c>
      <c r="C20" s="5">
        <v>830</v>
      </c>
    </row>
    <row r="21" spans="1:3" x14ac:dyDescent="0.3">
      <c r="A21" s="5" t="s">
        <v>46</v>
      </c>
      <c r="B21" s="6" t="s">
        <v>2</v>
      </c>
      <c r="C21" s="5">
        <v>664</v>
      </c>
    </row>
    <row r="22" spans="1:3" x14ac:dyDescent="0.3">
      <c r="A22" s="5" t="s">
        <v>46</v>
      </c>
      <c r="B22" s="6" t="s">
        <v>3</v>
      </c>
      <c r="C22" s="5">
        <v>468</v>
      </c>
    </row>
    <row r="23" spans="1:3" x14ac:dyDescent="0.3">
      <c r="A23" s="5" t="s">
        <v>46</v>
      </c>
      <c r="B23" s="6" t="s">
        <v>4</v>
      </c>
      <c r="C23" s="5">
        <v>390</v>
      </c>
    </row>
    <row r="24" spans="1:3" x14ac:dyDescent="0.3">
      <c r="A24" s="5" t="s">
        <v>46</v>
      </c>
      <c r="B24" s="6" t="s">
        <v>5</v>
      </c>
      <c r="C24" s="5">
        <v>323</v>
      </c>
    </row>
    <row r="25" spans="1:3" x14ac:dyDescent="0.3">
      <c r="A25" s="5" t="s">
        <v>46</v>
      </c>
      <c r="B25" s="6" t="s">
        <v>6</v>
      </c>
      <c r="C25" s="5">
        <v>67</v>
      </c>
    </row>
    <row r="26" spans="1:3" x14ac:dyDescent="0.3">
      <c r="A26" s="5" t="s">
        <v>47</v>
      </c>
      <c r="B26" s="6" t="s">
        <v>1</v>
      </c>
      <c r="C26" s="5">
        <v>836</v>
      </c>
    </row>
    <row r="27" spans="1:3" x14ac:dyDescent="0.3">
      <c r="A27" s="5" t="s">
        <v>47</v>
      </c>
      <c r="B27" s="6" t="s">
        <v>2</v>
      </c>
      <c r="C27" s="5">
        <v>645</v>
      </c>
    </row>
    <row r="28" spans="1:3" x14ac:dyDescent="0.3">
      <c r="A28" s="5" t="s">
        <v>47</v>
      </c>
      <c r="B28" s="6" t="s">
        <v>3</v>
      </c>
      <c r="C28" s="5">
        <v>478</v>
      </c>
    </row>
    <row r="29" spans="1:3" x14ac:dyDescent="0.3">
      <c r="A29" s="5" t="s">
        <v>47</v>
      </c>
      <c r="B29" s="6" t="s">
        <v>4</v>
      </c>
      <c r="C29" s="5">
        <v>399</v>
      </c>
    </row>
    <row r="30" spans="1:3" x14ac:dyDescent="0.3">
      <c r="A30" s="5" t="s">
        <v>47</v>
      </c>
      <c r="B30" s="6" t="s">
        <v>5</v>
      </c>
      <c r="C30" s="5">
        <v>328</v>
      </c>
    </row>
    <row r="31" spans="1:3" x14ac:dyDescent="0.3">
      <c r="A31" s="5" t="s">
        <v>47</v>
      </c>
      <c r="B31" s="6" t="s">
        <v>6</v>
      </c>
      <c r="C31" s="5">
        <v>71</v>
      </c>
    </row>
    <row r="32" spans="1:3" x14ac:dyDescent="0.3">
      <c r="A32" s="5" t="s">
        <v>48</v>
      </c>
      <c r="B32" s="6" t="s">
        <v>1</v>
      </c>
      <c r="C32" s="5">
        <v>1671</v>
      </c>
    </row>
    <row r="33" spans="1:3" x14ac:dyDescent="0.3">
      <c r="A33" s="5" t="s">
        <v>48</v>
      </c>
      <c r="B33" s="6" t="s">
        <v>2</v>
      </c>
      <c r="C33" s="5">
        <v>1320</v>
      </c>
    </row>
    <row r="34" spans="1:3" x14ac:dyDescent="0.3">
      <c r="A34" s="5" t="s">
        <v>48</v>
      </c>
      <c r="B34" s="6" t="s">
        <v>3</v>
      </c>
      <c r="C34" s="5">
        <v>988</v>
      </c>
    </row>
    <row r="35" spans="1:3" x14ac:dyDescent="0.3">
      <c r="A35" s="5" t="s">
        <v>48</v>
      </c>
      <c r="B35" s="6" t="s">
        <v>4</v>
      </c>
      <c r="C35" s="5">
        <v>795</v>
      </c>
    </row>
    <row r="36" spans="1:3" x14ac:dyDescent="0.3">
      <c r="A36" s="5" t="s">
        <v>48</v>
      </c>
      <c r="B36" s="6" t="s">
        <v>5</v>
      </c>
      <c r="C36" s="5">
        <v>661</v>
      </c>
    </row>
    <row r="37" spans="1:3" x14ac:dyDescent="0.3">
      <c r="A37" s="5" t="s">
        <v>48</v>
      </c>
      <c r="B37" s="6" t="s">
        <v>6</v>
      </c>
      <c r="C37" s="5">
        <v>134</v>
      </c>
    </row>
    <row r="38" spans="1:3" x14ac:dyDescent="0.3">
      <c r="A38" s="5" t="s">
        <v>49</v>
      </c>
      <c r="B38" s="6" t="s">
        <v>1</v>
      </c>
      <c r="C38" s="5">
        <v>855</v>
      </c>
    </row>
    <row r="39" spans="1:3" x14ac:dyDescent="0.3">
      <c r="A39" s="5" t="s">
        <v>49</v>
      </c>
      <c r="B39" s="6" t="s">
        <v>2</v>
      </c>
      <c r="C39" s="5">
        <v>664</v>
      </c>
    </row>
    <row r="40" spans="1:3" x14ac:dyDescent="0.3">
      <c r="A40" s="5" t="s">
        <v>49</v>
      </c>
      <c r="B40" s="6" t="s">
        <v>3</v>
      </c>
      <c r="C40" s="5">
        <v>475</v>
      </c>
    </row>
    <row r="41" spans="1:3" x14ac:dyDescent="0.3">
      <c r="A41" s="5" t="s">
        <v>49</v>
      </c>
      <c r="B41" s="6" t="s">
        <v>4</v>
      </c>
      <c r="C41" s="5">
        <v>394</v>
      </c>
    </row>
    <row r="42" spans="1:3" x14ac:dyDescent="0.3">
      <c r="A42" s="5" t="s">
        <v>49</v>
      </c>
      <c r="B42" s="6" t="s">
        <v>5</v>
      </c>
      <c r="C42" s="5">
        <v>316</v>
      </c>
    </row>
    <row r="43" spans="1:3" x14ac:dyDescent="0.3">
      <c r="A43" s="5" t="s">
        <v>49</v>
      </c>
      <c r="B43" s="6" t="s">
        <v>6</v>
      </c>
      <c r="C43" s="5">
        <v>78</v>
      </c>
    </row>
    <row r="44" spans="1:3" x14ac:dyDescent="0.3">
      <c r="A44" s="5" t="s">
        <v>50</v>
      </c>
      <c r="B44" s="6" t="s">
        <v>1</v>
      </c>
      <c r="C44" s="5">
        <v>825</v>
      </c>
    </row>
    <row r="45" spans="1:3" x14ac:dyDescent="0.3">
      <c r="A45" s="5" t="s">
        <v>50</v>
      </c>
      <c r="B45" s="6" t="s">
        <v>2</v>
      </c>
      <c r="C45" s="5">
        <v>651</v>
      </c>
    </row>
    <row r="46" spans="1:3" x14ac:dyDescent="0.3">
      <c r="A46" s="5" t="s">
        <v>50</v>
      </c>
      <c r="B46" s="6" t="s">
        <v>3</v>
      </c>
      <c r="C46" s="5">
        <v>482</v>
      </c>
    </row>
    <row r="47" spans="1:3" x14ac:dyDescent="0.3">
      <c r="A47" s="5" t="s">
        <v>50</v>
      </c>
      <c r="B47" s="6" t="s">
        <v>4</v>
      </c>
      <c r="C47" s="5">
        <v>388</v>
      </c>
    </row>
    <row r="48" spans="1:3" x14ac:dyDescent="0.3">
      <c r="A48" s="5" t="s">
        <v>50</v>
      </c>
      <c r="B48" s="6" t="s">
        <v>5</v>
      </c>
      <c r="C48" s="5">
        <v>323</v>
      </c>
    </row>
    <row r="49" spans="1:3" x14ac:dyDescent="0.3">
      <c r="A49" s="5" t="s">
        <v>50</v>
      </c>
      <c r="B49" s="6" t="s">
        <v>6</v>
      </c>
      <c r="C49" s="5">
        <v>65</v>
      </c>
    </row>
    <row r="50" spans="1:3" x14ac:dyDescent="0.3">
      <c r="A50" s="5" t="s">
        <v>51</v>
      </c>
      <c r="B50" s="6" t="s">
        <v>1</v>
      </c>
      <c r="C50" s="5">
        <v>814</v>
      </c>
    </row>
    <row r="51" spans="1:3" x14ac:dyDescent="0.3">
      <c r="A51" s="5" t="s">
        <v>51</v>
      </c>
      <c r="B51" s="6" t="s">
        <v>2</v>
      </c>
      <c r="C51" s="5">
        <v>615</v>
      </c>
    </row>
    <row r="52" spans="1:3" x14ac:dyDescent="0.3">
      <c r="A52" s="5" t="s">
        <v>51</v>
      </c>
      <c r="B52" s="6" t="s">
        <v>3</v>
      </c>
      <c r="C52" s="5">
        <v>455</v>
      </c>
    </row>
    <row r="53" spans="1:3" x14ac:dyDescent="0.3">
      <c r="A53" s="5" t="s">
        <v>51</v>
      </c>
      <c r="B53" s="6" t="s">
        <v>4</v>
      </c>
      <c r="C53" s="5">
        <v>376</v>
      </c>
    </row>
    <row r="54" spans="1:3" x14ac:dyDescent="0.3">
      <c r="A54" s="5" t="s">
        <v>51</v>
      </c>
      <c r="B54" s="6" t="s">
        <v>5</v>
      </c>
      <c r="C54" s="5">
        <v>300</v>
      </c>
    </row>
    <row r="55" spans="1:3" x14ac:dyDescent="0.3">
      <c r="A55" s="5" t="s">
        <v>51</v>
      </c>
      <c r="B55" s="6" t="s">
        <v>6</v>
      </c>
      <c r="C55" s="5">
        <v>76</v>
      </c>
    </row>
    <row r="56" spans="1:3" x14ac:dyDescent="0.3">
      <c r="A56" s="5" t="s">
        <v>52</v>
      </c>
      <c r="B56" s="6" t="s">
        <v>1</v>
      </c>
      <c r="C56" s="5">
        <v>798</v>
      </c>
    </row>
    <row r="57" spans="1:3" x14ac:dyDescent="0.3">
      <c r="A57" s="5" t="s">
        <v>52</v>
      </c>
      <c r="B57" s="6" t="s">
        <v>2</v>
      </c>
      <c r="C57" s="5">
        <v>633</v>
      </c>
    </row>
    <row r="58" spans="1:3" x14ac:dyDescent="0.3">
      <c r="A58" s="5" t="s">
        <v>52</v>
      </c>
      <c r="B58" s="6" t="s">
        <v>3</v>
      </c>
      <c r="C58" s="5">
        <v>441</v>
      </c>
    </row>
    <row r="59" spans="1:3" x14ac:dyDescent="0.3">
      <c r="A59" s="5" t="s">
        <v>52</v>
      </c>
      <c r="B59" s="6" t="s">
        <v>4</v>
      </c>
      <c r="C59" s="5">
        <v>349</v>
      </c>
    </row>
    <row r="60" spans="1:3" x14ac:dyDescent="0.3">
      <c r="A60" s="5" t="s">
        <v>52</v>
      </c>
      <c r="B60" s="6" t="s">
        <v>5</v>
      </c>
      <c r="C60" s="5">
        <v>296</v>
      </c>
    </row>
    <row r="61" spans="1:3" x14ac:dyDescent="0.3">
      <c r="A61" s="5" t="s">
        <v>52</v>
      </c>
      <c r="B61" s="6" t="s">
        <v>6</v>
      </c>
      <c r="C61" s="5">
        <v>53</v>
      </c>
    </row>
    <row r="62" spans="1:3" x14ac:dyDescent="0.3">
      <c r="A62" s="5" t="s">
        <v>53</v>
      </c>
      <c r="B62" s="6" t="s">
        <v>1</v>
      </c>
      <c r="C62" s="5">
        <v>826</v>
      </c>
    </row>
    <row r="63" spans="1:3" x14ac:dyDescent="0.3">
      <c r="A63" s="5" t="s">
        <v>53</v>
      </c>
      <c r="B63" s="6" t="s">
        <v>2</v>
      </c>
      <c r="C63" s="5">
        <v>650</v>
      </c>
    </row>
    <row r="64" spans="1:3" x14ac:dyDescent="0.3">
      <c r="A64" s="5" t="s">
        <v>53</v>
      </c>
      <c r="B64" s="6" t="s">
        <v>3</v>
      </c>
      <c r="C64" s="5">
        <v>467</v>
      </c>
    </row>
    <row r="65" spans="1:3" x14ac:dyDescent="0.3">
      <c r="A65" s="5" t="s">
        <v>53</v>
      </c>
      <c r="B65" s="6" t="s">
        <v>4</v>
      </c>
      <c r="C65" s="5">
        <v>389</v>
      </c>
    </row>
    <row r="66" spans="1:3" x14ac:dyDescent="0.3">
      <c r="A66" s="5" t="s">
        <v>53</v>
      </c>
      <c r="B66" s="6" t="s">
        <v>5</v>
      </c>
      <c r="C66" s="5">
        <v>321</v>
      </c>
    </row>
    <row r="67" spans="1:3" x14ac:dyDescent="0.3">
      <c r="A67" s="5" t="s">
        <v>53</v>
      </c>
      <c r="B67" s="6" t="s">
        <v>6</v>
      </c>
      <c r="C67" s="5">
        <v>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Dropoff_Users</vt:lpstr>
      <vt:lpstr>Platform_Analysis</vt:lpstr>
      <vt:lpstr>Plan_Analysis</vt:lpstr>
      <vt:lpstr>Payment_method_analysis</vt:lpstr>
      <vt:lpstr>Payment_failure_Analysis</vt:lpstr>
      <vt:lpstr>New vs Return users</vt:lpstr>
      <vt:lpstr>Geography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Sabuj Some</dc:creator>
  <cp:lastModifiedBy>Sabuj Some</cp:lastModifiedBy>
  <dcterms:created xsi:type="dcterms:W3CDTF">2026-10-02T08:07:23Z</dcterms:created>
  <dcterms:modified xsi:type="dcterms:W3CDTF">2026-10-02T13:33:22Z</dcterms:modified>
</cp:coreProperties>
</file>